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shao/git/MSCD/result/"/>
    </mc:Choice>
  </mc:AlternateContent>
  <xr:revisionPtr revIDLastSave="0" documentId="13_ncr:1_{D7527165-FF5B-544E-93C0-2999AC454862}" xr6:coauthVersionLast="47" xr6:coauthVersionMax="47" xr10:uidLastSave="{00000000-0000-0000-0000-000000000000}"/>
  <bookViews>
    <workbookView xWindow="4300" yWindow="11400" windowWidth="28040" windowHeight="17180" xr2:uid="{61C295B2-387B-E448-B88B-15B2495345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7" i="1"/>
  <c r="L17" i="1"/>
  <c r="L18" i="1"/>
  <c r="L19" i="1"/>
  <c r="L20" i="1"/>
  <c r="L21" i="1"/>
  <c r="L22" i="1"/>
  <c r="L23" i="1"/>
  <c r="L24" i="1"/>
  <c r="L2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J28" i="1"/>
  <c r="J27" i="1"/>
  <c r="J25" i="1"/>
  <c r="J23" i="1"/>
  <c r="J22" i="1"/>
  <c r="J20" i="1"/>
  <c r="J19" i="1"/>
  <c r="J17" i="1"/>
  <c r="J16" i="1"/>
  <c r="J14" i="1"/>
  <c r="J13" i="1"/>
  <c r="J11" i="1"/>
  <c r="J10" i="1"/>
  <c r="J8" i="1"/>
  <c r="J7" i="1"/>
  <c r="J5" i="1"/>
  <c r="J4" i="1"/>
  <c r="J2" i="1"/>
  <c r="H28" i="1"/>
  <c r="H27" i="1"/>
  <c r="H15" i="1"/>
  <c r="H16" i="1"/>
  <c r="H17" i="1"/>
  <c r="H18" i="1"/>
  <c r="H19" i="1"/>
  <c r="H20" i="1"/>
  <c r="H21" i="1"/>
  <c r="H22" i="1"/>
  <c r="H23" i="1"/>
  <c r="H24" i="1"/>
  <c r="H25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F28" i="1"/>
  <c r="F27" i="1"/>
  <c r="F14" i="1"/>
  <c r="F15" i="1"/>
  <c r="F16" i="1"/>
  <c r="F17" i="1"/>
  <c r="F18" i="1"/>
  <c r="F19" i="1"/>
  <c r="F20" i="1"/>
  <c r="F21" i="1"/>
  <c r="F22" i="1"/>
  <c r="F23" i="1"/>
  <c r="F24" i="1"/>
  <c r="F25" i="1"/>
  <c r="F9" i="1"/>
  <c r="F10" i="1"/>
  <c r="F11" i="1"/>
  <c r="F12" i="1"/>
  <c r="F13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<sst xmlns="http://schemas.openxmlformats.org/spreadsheetml/2006/main" count="86" uniqueCount="23">
  <si>
    <t>Model</t>
  </si>
  <si>
    <t>BM</t>
  </si>
  <si>
    <t>Level</t>
  </si>
  <si>
    <t>MSCD</t>
  </si>
  <si>
    <t>No TC</t>
  </si>
  <si>
    <t>MSCD - No TC</t>
  </si>
  <si>
    <t>No CD</t>
  </si>
  <si>
    <t>MSCD - No CD</t>
  </si>
  <si>
    <t>No BN</t>
  </si>
  <si>
    <t>MSCD - No BN</t>
  </si>
  <si>
    <t>No CE</t>
  </si>
  <si>
    <t>MSCD - No CE</t>
  </si>
  <si>
    <t>AMAuT</t>
  </si>
  <si>
    <t>SC2-C</t>
  </si>
  <si>
    <t>L1</t>
  </si>
  <si>
    <t>HuBERT</t>
  </si>
  <si>
    <t>PANNs</t>
  </si>
  <si>
    <t>L2</t>
  </si>
  <si>
    <t>VS-C</t>
  </si>
  <si>
    <t>RS-C</t>
  </si>
  <si>
    <t>US8-C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</si>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</sst>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F106-5EE2-BD4D-9A04-92E9BD22B3CD}">
  <dimension ref="A1:L28"/>
  <sheetViews>
    <sheetView tabSelected="1" topLeftCell="A7" workbookViewId="0">
      <selection activeCell="L29" sqref="L29"/>
    </sheetView>
  </sheetViews>
  <sheetFormatPr baseColWidth="10" defaultRowHeight="16" x14ac:dyDescent="0.2"/>
  <cols>
    <col min="6" max="6" width="13.33203125" customWidth="1"/>
    <col min="8" max="8" width="12.6640625" customWidth="1"/>
    <col min="10" max="10" width="13.33203125" customWidth="1"/>
    <col min="12" max="12" width="12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0.93169999999999997</v>
      </c>
      <c r="E2">
        <v>0.92879999999999996</v>
      </c>
      <c r="F2">
        <f>D2-E2</f>
        <v>2.9000000000000137E-3</v>
      </c>
      <c r="G2">
        <v>0.93059999999999998</v>
      </c>
      <c r="H2">
        <f>D2-G2</f>
        <v>1.0999999999999899E-3</v>
      </c>
      <c r="I2">
        <v>0.92</v>
      </c>
      <c r="J2">
        <f>D2-I2</f>
        <v>1.1699999999999933E-2</v>
      </c>
      <c r="K2">
        <v>0.87090000000000001</v>
      </c>
      <c r="L2">
        <f>D2-K2</f>
        <v>6.0799999999999965E-2</v>
      </c>
    </row>
    <row r="3" spans="1:12" x14ac:dyDescent="0.2">
      <c r="A3" t="s">
        <v>15</v>
      </c>
      <c r="B3" t="s">
        <v>13</v>
      </c>
      <c r="C3" t="s">
        <v>14</v>
      </c>
      <c r="D3">
        <v>0.97040000000000004</v>
      </c>
      <c r="E3">
        <v>0.9093</v>
      </c>
      <c r="F3">
        <f t="shared" ref="F3:F7" si="0">D3-E3</f>
        <v>6.1100000000000043E-2</v>
      </c>
      <c r="G3">
        <v>0.97009999999999996</v>
      </c>
      <c r="H3">
        <f t="shared" ref="H3:H25" si="1">D3-G3</f>
        <v>3.0000000000007798E-4</v>
      </c>
      <c r="K3">
        <v>0.93869999999999998</v>
      </c>
      <c r="L3">
        <f t="shared" ref="L3:L25" si="2">D3-K3</f>
        <v>3.1700000000000061E-2</v>
      </c>
    </row>
    <row r="4" spans="1:12" x14ac:dyDescent="0.2">
      <c r="A4" t="s">
        <v>16</v>
      </c>
      <c r="B4" t="s">
        <v>13</v>
      </c>
      <c r="C4" t="s">
        <v>14</v>
      </c>
      <c r="D4">
        <v>0.84750000000000003</v>
      </c>
      <c r="E4">
        <v>0.84489999999999998</v>
      </c>
      <c r="F4">
        <f t="shared" si="0"/>
        <v>2.6000000000000467E-3</v>
      </c>
      <c r="G4">
        <v>0.84809999999999997</v>
      </c>
      <c r="H4">
        <f t="shared" si="1"/>
        <v>-5.9999999999993392E-4</v>
      </c>
      <c r="I4">
        <v>0.8165</v>
      </c>
      <c r="J4">
        <f>D4-I4</f>
        <v>3.1000000000000028E-2</v>
      </c>
      <c r="K4">
        <v>0.76939999999999997</v>
      </c>
      <c r="L4">
        <f t="shared" si="2"/>
        <v>7.8100000000000058E-2</v>
      </c>
    </row>
    <row r="5" spans="1:12" x14ac:dyDescent="0.2">
      <c r="A5" t="s">
        <v>12</v>
      </c>
      <c r="B5" t="s">
        <v>13</v>
      </c>
      <c r="C5" t="s">
        <v>17</v>
      </c>
      <c r="D5">
        <v>0.92510000000000003</v>
      </c>
      <c r="E5">
        <v>0.92030000000000001</v>
      </c>
      <c r="F5">
        <f t="shared" si="0"/>
        <v>4.8000000000000265E-3</v>
      </c>
      <c r="G5">
        <v>0.92349999999999999</v>
      </c>
      <c r="H5">
        <f t="shared" si="1"/>
        <v>1.6000000000000458E-3</v>
      </c>
      <c r="I5">
        <v>0.91010000000000002</v>
      </c>
      <c r="J5">
        <f>D5-I5</f>
        <v>1.5000000000000013E-2</v>
      </c>
      <c r="K5">
        <v>0.84650000000000003</v>
      </c>
      <c r="L5">
        <f t="shared" si="2"/>
        <v>7.8600000000000003E-2</v>
      </c>
    </row>
    <row r="6" spans="1:12" x14ac:dyDescent="0.2">
      <c r="A6" t="s">
        <v>15</v>
      </c>
      <c r="B6" t="s">
        <v>13</v>
      </c>
      <c r="C6" t="s">
        <v>17</v>
      </c>
      <c r="D6">
        <v>0.97040000000000004</v>
      </c>
      <c r="E6">
        <v>0.96760000000000002</v>
      </c>
      <c r="F6">
        <f t="shared" si="0"/>
        <v>2.8000000000000247E-3</v>
      </c>
      <c r="G6">
        <v>0.97</v>
      </c>
      <c r="H6">
        <f t="shared" si="1"/>
        <v>4.0000000000006697E-4</v>
      </c>
      <c r="K6">
        <v>0.9244</v>
      </c>
      <c r="L6">
        <f t="shared" si="2"/>
        <v>4.6000000000000041E-2</v>
      </c>
    </row>
    <row r="7" spans="1:12" x14ac:dyDescent="0.2">
      <c r="A7" t="s">
        <v>16</v>
      </c>
      <c r="B7" t="s">
        <v>13</v>
      </c>
      <c r="C7" t="s">
        <v>17</v>
      </c>
      <c r="D7">
        <v>0.83030000000000004</v>
      </c>
      <c r="E7">
        <v>0.82840000000000003</v>
      </c>
      <c r="F7">
        <f t="shared" si="0"/>
        <v>1.9000000000000128E-3</v>
      </c>
      <c r="G7">
        <v>0.83050000000000002</v>
      </c>
      <c r="H7">
        <f t="shared" si="1"/>
        <v>-1.9999999999997797E-4</v>
      </c>
      <c r="I7">
        <v>0.78100000000000003</v>
      </c>
      <c r="J7">
        <f>D7-I7</f>
        <v>4.930000000000001E-2</v>
      </c>
      <c r="K7">
        <v>0.74990000000000001</v>
      </c>
      <c r="L7">
        <f t="shared" si="2"/>
        <v>8.0400000000000027E-2</v>
      </c>
    </row>
    <row r="8" spans="1:12" x14ac:dyDescent="0.2">
      <c r="A8" t="s">
        <v>12</v>
      </c>
      <c r="B8" t="s">
        <v>18</v>
      </c>
      <c r="C8" t="s">
        <v>14</v>
      </c>
      <c r="D8">
        <v>0.90090000000000003</v>
      </c>
      <c r="E8">
        <v>0.90159999999999996</v>
      </c>
      <c r="F8">
        <f>D8-E8</f>
        <v>-6.9999999999992291E-4</v>
      </c>
      <c r="G8">
        <v>0.89949999999999997</v>
      </c>
      <c r="H8">
        <f t="shared" si="1"/>
        <v>1.4000000000000679E-3</v>
      </c>
      <c r="I8">
        <v>0.88529999999999998</v>
      </c>
      <c r="J8">
        <f>D8-I8</f>
        <v>1.5600000000000058E-2</v>
      </c>
      <c r="K8">
        <v>0.86280000000000001</v>
      </c>
      <c r="L8">
        <f t="shared" si="2"/>
        <v>3.8100000000000023E-2</v>
      </c>
    </row>
    <row r="9" spans="1:12" x14ac:dyDescent="0.2">
      <c r="A9" t="s">
        <v>15</v>
      </c>
      <c r="B9" t="s">
        <v>18</v>
      </c>
      <c r="C9" t="s">
        <v>14</v>
      </c>
      <c r="D9">
        <v>0.92020000000000002</v>
      </c>
      <c r="E9">
        <v>0.92110000000000003</v>
      </c>
      <c r="F9">
        <f t="shared" ref="F9:F25" si="3">D9-E9</f>
        <v>-9.000000000000119E-4</v>
      </c>
      <c r="G9">
        <v>0.91979999999999995</v>
      </c>
      <c r="H9">
        <f t="shared" si="1"/>
        <v>4.0000000000006697E-4</v>
      </c>
      <c r="K9">
        <v>0.90139999999999998</v>
      </c>
      <c r="L9">
        <f t="shared" si="2"/>
        <v>1.8800000000000039E-2</v>
      </c>
    </row>
    <row r="10" spans="1:12" x14ac:dyDescent="0.2">
      <c r="A10" t="s">
        <v>16</v>
      </c>
      <c r="B10" t="s">
        <v>18</v>
      </c>
      <c r="C10" t="s">
        <v>14</v>
      </c>
      <c r="D10">
        <v>0.88870000000000005</v>
      </c>
      <c r="E10">
        <v>0.88790000000000002</v>
      </c>
      <c r="F10">
        <f t="shared" si="3"/>
        <v>8.0000000000002292E-4</v>
      </c>
      <c r="G10">
        <v>0.88529999999999998</v>
      </c>
      <c r="H10">
        <f t="shared" si="1"/>
        <v>3.4000000000000696E-3</v>
      </c>
      <c r="I10">
        <v>0.81369999999999998</v>
      </c>
      <c r="J10">
        <f>D10-I10</f>
        <v>7.5000000000000067E-2</v>
      </c>
      <c r="K10">
        <v>0.8649</v>
      </c>
      <c r="L10">
        <f t="shared" si="2"/>
        <v>2.3800000000000043E-2</v>
      </c>
    </row>
    <row r="11" spans="1:12" x14ac:dyDescent="0.2">
      <c r="A11" t="s">
        <v>12</v>
      </c>
      <c r="B11" t="s">
        <v>18</v>
      </c>
      <c r="C11" t="s">
        <v>17</v>
      </c>
      <c r="D11">
        <v>0.89680000000000004</v>
      </c>
      <c r="E11">
        <v>0.89490000000000003</v>
      </c>
      <c r="F11">
        <f t="shared" si="3"/>
        <v>1.9000000000000128E-3</v>
      </c>
      <c r="G11">
        <v>0.89510000000000001</v>
      </c>
      <c r="H11">
        <f t="shared" si="1"/>
        <v>1.7000000000000348E-3</v>
      </c>
      <c r="I11">
        <v>0.88280000000000003</v>
      </c>
      <c r="J11">
        <f>D11-I11</f>
        <v>1.4000000000000012E-2</v>
      </c>
      <c r="K11">
        <v>0.85829999999999995</v>
      </c>
      <c r="L11">
        <f t="shared" si="2"/>
        <v>3.850000000000009E-2</v>
      </c>
    </row>
    <row r="12" spans="1:12" x14ac:dyDescent="0.2">
      <c r="A12" t="s">
        <v>15</v>
      </c>
      <c r="B12" t="s">
        <v>18</v>
      </c>
      <c r="C12" t="s">
        <v>17</v>
      </c>
      <c r="D12">
        <v>0.91800000000000004</v>
      </c>
      <c r="E12">
        <v>0.91700000000000004</v>
      </c>
      <c r="F12">
        <f t="shared" si="3"/>
        <v>1.0000000000000009E-3</v>
      </c>
      <c r="G12">
        <v>0.91720000000000002</v>
      </c>
      <c r="H12">
        <f t="shared" si="1"/>
        <v>8.0000000000002292E-4</v>
      </c>
      <c r="K12">
        <v>0.89710000000000001</v>
      </c>
      <c r="L12">
        <f t="shared" si="2"/>
        <v>2.090000000000003E-2</v>
      </c>
    </row>
    <row r="13" spans="1:12" x14ac:dyDescent="0.2">
      <c r="A13" t="s">
        <v>16</v>
      </c>
      <c r="B13" t="s">
        <v>18</v>
      </c>
      <c r="C13" t="s">
        <v>17</v>
      </c>
      <c r="D13">
        <v>0.88639999999999997</v>
      </c>
      <c r="E13">
        <v>0.88600000000000001</v>
      </c>
      <c r="F13">
        <f t="shared" si="3"/>
        <v>3.9999999999995595E-4</v>
      </c>
      <c r="G13">
        <v>0.88270000000000004</v>
      </c>
      <c r="H13">
        <f t="shared" si="1"/>
        <v>3.6999999999999256E-3</v>
      </c>
      <c r="I13">
        <v>0.80979999999999996</v>
      </c>
      <c r="J13">
        <f>D13-I13</f>
        <v>7.6600000000000001E-2</v>
      </c>
      <c r="K13">
        <v>0.85970000000000002</v>
      </c>
      <c r="L13">
        <f t="shared" si="2"/>
        <v>2.6699999999999946E-2</v>
      </c>
    </row>
    <row r="14" spans="1:12" x14ac:dyDescent="0.2">
      <c r="A14" t="s">
        <v>12</v>
      </c>
      <c r="B14" t="s">
        <v>19</v>
      </c>
      <c r="C14" t="s">
        <v>14</v>
      </c>
      <c r="D14">
        <v>0.96279999999999999</v>
      </c>
      <c r="E14">
        <v>0.96150000000000002</v>
      </c>
      <c r="F14">
        <f t="shared" si="3"/>
        <v>1.2999999999999678E-3</v>
      </c>
      <c r="G14">
        <v>0.96409999999999996</v>
      </c>
      <c r="H14">
        <f t="shared" si="1"/>
        <v>-1.2999999999999678E-3</v>
      </c>
      <c r="I14">
        <v>0.93799999999999994</v>
      </c>
      <c r="J14">
        <f>D14-I14</f>
        <v>2.4800000000000044E-2</v>
      </c>
      <c r="K14">
        <v>0.74419999999999997</v>
      </c>
      <c r="L14">
        <f t="shared" si="2"/>
        <v>0.21860000000000002</v>
      </c>
    </row>
    <row r="15" spans="1:12" x14ac:dyDescent="0.2">
      <c r="A15" t="s">
        <v>15</v>
      </c>
      <c r="B15" t="s">
        <v>19</v>
      </c>
      <c r="C15" t="s">
        <v>14</v>
      </c>
      <c r="D15">
        <v>0.96109999999999995</v>
      </c>
      <c r="E15">
        <v>0.95899999999999996</v>
      </c>
      <c r="F15">
        <f t="shared" si="3"/>
        <v>2.0999999999999908E-3</v>
      </c>
      <c r="G15">
        <v>0.95779999999999998</v>
      </c>
      <c r="H15">
        <f t="shared" si="1"/>
        <v>3.2999999999999696E-3</v>
      </c>
      <c r="K15">
        <v>0.74480000000000002</v>
      </c>
      <c r="L15">
        <f t="shared" si="2"/>
        <v>0.21629999999999994</v>
      </c>
    </row>
    <row r="16" spans="1:12" x14ac:dyDescent="0.2">
      <c r="A16" t="s">
        <v>16</v>
      </c>
      <c r="B16" t="s">
        <v>19</v>
      </c>
      <c r="C16" t="s">
        <v>14</v>
      </c>
      <c r="D16">
        <v>0.95279999999999998</v>
      </c>
      <c r="E16">
        <v>0.95320000000000005</v>
      </c>
      <c r="F16">
        <f t="shared" si="3"/>
        <v>-4.0000000000006697E-4</v>
      </c>
      <c r="G16">
        <v>0.95330000000000004</v>
      </c>
      <c r="H16">
        <f t="shared" si="1"/>
        <v>-5.0000000000005596E-4</v>
      </c>
      <c r="I16">
        <v>0.9012</v>
      </c>
      <c r="J16">
        <f>D16-I16</f>
        <v>5.1599999999999979E-2</v>
      </c>
      <c r="K16">
        <v>0.86199999999999999</v>
      </c>
      <c r="L16">
        <f t="shared" si="2"/>
        <v>9.0799999999999992E-2</v>
      </c>
    </row>
    <row r="17" spans="1:12" x14ac:dyDescent="0.2">
      <c r="A17" t="s">
        <v>12</v>
      </c>
      <c r="B17" t="s">
        <v>19</v>
      </c>
      <c r="C17" t="s">
        <v>17</v>
      </c>
      <c r="D17">
        <v>0.96660000000000001</v>
      </c>
      <c r="E17">
        <v>0.96519999999999995</v>
      </c>
      <c r="F17">
        <f t="shared" si="3"/>
        <v>1.4000000000000679E-3</v>
      </c>
      <c r="G17">
        <v>0.96579999999999999</v>
      </c>
      <c r="H17">
        <f t="shared" si="1"/>
        <v>8.0000000000002292E-4</v>
      </c>
      <c r="I17">
        <v>0.93759999999999999</v>
      </c>
      <c r="J17">
        <f>D17-I17</f>
        <v>2.9000000000000026E-2</v>
      </c>
      <c r="K17">
        <v>0.76619999999999999</v>
      </c>
      <c r="L17">
        <f t="shared" si="2"/>
        <v>0.20040000000000002</v>
      </c>
    </row>
    <row r="18" spans="1:12" x14ac:dyDescent="0.2">
      <c r="A18" t="s">
        <v>15</v>
      </c>
      <c r="B18" t="s">
        <v>19</v>
      </c>
      <c r="C18" t="s">
        <v>17</v>
      </c>
      <c r="D18">
        <v>0.94769999999999999</v>
      </c>
      <c r="E18">
        <v>0.95140000000000002</v>
      </c>
      <c r="F18">
        <f t="shared" si="3"/>
        <v>-3.7000000000000366E-3</v>
      </c>
      <c r="G18">
        <v>0.94089999999999996</v>
      </c>
      <c r="H18">
        <f t="shared" si="1"/>
        <v>6.8000000000000282E-3</v>
      </c>
      <c r="K18">
        <v>0.75429999999999997</v>
      </c>
      <c r="L18">
        <f t="shared" si="2"/>
        <v>0.19340000000000002</v>
      </c>
    </row>
    <row r="19" spans="1:12" x14ac:dyDescent="0.2">
      <c r="A19" t="s">
        <v>16</v>
      </c>
      <c r="B19" t="s">
        <v>19</v>
      </c>
      <c r="C19" t="s">
        <v>17</v>
      </c>
      <c r="D19">
        <v>0.95089999999999997</v>
      </c>
      <c r="E19">
        <v>0.94830000000000003</v>
      </c>
      <c r="F19">
        <f t="shared" si="3"/>
        <v>2.5999999999999357E-3</v>
      </c>
      <c r="G19">
        <v>0.94599999999999995</v>
      </c>
      <c r="H19">
        <f t="shared" si="1"/>
        <v>4.9000000000000155E-3</v>
      </c>
      <c r="I19">
        <v>0.89829999999999999</v>
      </c>
      <c r="J19">
        <f>D19-I19</f>
        <v>5.259999999999998E-2</v>
      </c>
      <c r="K19">
        <v>0.84799999999999998</v>
      </c>
      <c r="L19">
        <f t="shared" si="2"/>
        <v>0.10289999999999999</v>
      </c>
    </row>
    <row r="20" spans="1:12" x14ac:dyDescent="0.2">
      <c r="A20" t="s">
        <v>12</v>
      </c>
      <c r="B20" t="s">
        <v>20</v>
      </c>
      <c r="C20" t="s">
        <v>14</v>
      </c>
      <c r="D20">
        <v>0.77510000000000001</v>
      </c>
      <c r="E20">
        <v>0.76780000000000004</v>
      </c>
      <c r="F20">
        <f t="shared" si="3"/>
        <v>7.2999999999999732E-3</v>
      </c>
      <c r="G20">
        <v>0.77</v>
      </c>
      <c r="H20">
        <f t="shared" si="1"/>
        <v>5.0999999999999934E-3</v>
      </c>
      <c r="I20">
        <v>0.69350000000000001</v>
      </c>
      <c r="J20">
        <f>D20-I20</f>
        <v>8.1600000000000006E-2</v>
      </c>
      <c r="K20">
        <v>0.6452</v>
      </c>
      <c r="L20">
        <f t="shared" si="2"/>
        <v>0.12990000000000002</v>
      </c>
    </row>
    <row r="21" spans="1:12" x14ac:dyDescent="0.2">
      <c r="A21" t="s">
        <v>15</v>
      </c>
      <c r="B21" t="s">
        <v>20</v>
      </c>
      <c r="C21" t="s">
        <v>14</v>
      </c>
      <c r="D21">
        <v>0.73180000000000001</v>
      </c>
      <c r="E21">
        <v>0.74280000000000002</v>
      </c>
      <c r="F21">
        <f t="shared" si="3"/>
        <v>-1.100000000000001E-2</v>
      </c>
      <c r="G21">
        <v>0.7329</v>
      </c>
      <c r="H21">
        <f t="shared" si="1"/>
        <v>-1.0999999999999899E-3</v>
      </c>
      <c r="K21">
        <v>0.56179999999999997</v>
      </c>
      <c r="L21">
        <f t="shared" si="2"/>
        <v>0.17000000000000004</v>
      </c>
    </row>
    <row r="22" spans="1:12" x14ac:dyDescent="0.2">
      <c r="A22" t="s">
        <v>16</v>
      </c>
      <c r="B22" t="s">
        <v>20</v>
      </c>
      <c r="C22" t="s">
        <v>14</v>
      </c>
      <c r="D22">
        <v>0.85760000000000003</v>
      </c>
      <c r="E22">
        <v>0.85729999999999995</v>
      </c>
      <c r="F22">
        <f t="shared" si="3"/>
        <v>3.0000000000007798E-4</v>
      </c>
      <c r="G22">
        <v>0.85880000000000001</v>
      </c>
      <c r="H22">
        <f t="shared" si="1"/>
        <v>-1.1999999999999789E-3</v>
      </c>
      <c r="I22">
        <v>0.80820000000000003</v>
      </c>
      <c r="J22">
        <f>D22-I22</f>
        <v>4.9399999999999999E-2</v>
      </c>
      <c r="K22">
        <v>0.80230000000000001</v>
      </c>
      <c r="L22">
        <f t="shared" si="2"/>
        <v>5.5300000000000016E-2</v>
      </c>
    </row>
    <row r="23" spans="1:12" x14ac:dyDescent="0.2">
      <c r="A23" t="s">
        <v>12</v>
      </c>
      <c r="B23" t="s">
        <v>20</v>
      </c>
      <c r="C23" t="s">
        <v>17</v>
      </c>
      <c r="D23">
        <v>0.75960000000000005</v>
      </c>
      <c r="E23">
        <v>0.75570000000000004</v>
      </c>
      <c r="F23">
        <f t="shared" si="3"/>
        <v>3.9000000000000146E-3</v>
      </c>
      <c r="G23">
        <v>0.75439999999999996</v>
      </c>
      <c r="H23">
        <f t="shared" si="1"/>
        <v>5.2000000000000934E-3</v>
      </c>
      <c r="I23">
        <v>0.69350000000000001</v>
      </c>
      <c r="J23">
        <f>D23-I23</f>
        <v>6.6100000000000048E-2</v>
      </c>
      <c r="K23">
        <v>0.64200000000000002</v>
      </c>
      <c r="L23">
        <f t="shared" si="2"/>
        <v>0.11760000000000004</v>
      </c>
    </row>
    <row r="24" spans="1:12" x14ac:dyDescent="0.2">
      <c r="A24" t="s">
        <v>15</v>
      </c>
      <c r="B24" t="s">
        <v>20</v>
      </c>
      <c r="C24" t="s">
        <v>17</v>
      </c>
      <c r="D24">
        <v>0.72789999999999999</v>
      </c>
      <c r="E24">
        <v>0.73699999999999999</v>
      </c>
      <c r="F24">
        <f t="shared" si="3"/>
        <v>-9.099999999999997E-3</v>
      </c>
      <c r="G24">
        <v>0.72699999999999998</v>
      </c>
      <c r="H24">
        <f t="shared" si="1"/>
        <v>9.000000000000119E-4</v>
      </c>
      <c r="K24">
        <v>0.58440000000000003</v>
      </c>
      <c r="L24">
        <f t="shared" si="2"/>
        <v>0.14349999999999996</v>
      </c>
    </row>
    <row r="25" spans="1:12" x14ac:dyDescent="0.2">
      <c r="A25" t="s">
        <v>16</v>
      </c>
      <c r="B25" t="s">
        <v>20</v>
      </c>
      <c r="C25" t="s">
        <v>17</v>
      </c>
      <c r="D25">
        <v>0.85589999999999999</v>
      </c>
      <c r="E25">
        <v>0.85240000000000005</v>
      </c>
      <c r="F25">
        <f t="shared" si="3"/>
        <v>3.4999999999999476E-3</v>
      </c>
      <c r="G25">
        <v>0.85580000000000001</v>
      </c>
      <c r="H25">
        <f t="shared" si="1"/>
        <v>9.9999999999988987E-5</v>
      </c>
      <c r="I25">
        <v>0.80230000000000001</v>
      </c>
      <c r="J25">
        <f>D25-I25</f>
        <v>5.3599999999999981E-2</v>
      </c>
      <c r="K25">
        <v>0.79249999999999998</v>
      </c>
      <c r="L25">
        <f t="shared" si="2"/>
        <v>6.3400000000000012E-2</v>
      </c>
    </row>
    <row r="27" spans="1:12" x14ac:dyDescent="0.2">
      <c r="C27" t="s">
        <v>21</v>
      </c>
      <c r="F27">
        <f>AVERAGE(F2:F25)</f>
        <v>3.2000000000000036E-3</v>
      </c>
      <c r="H27">
        <f>AVERAGE(H2:H25)</f>
        <v>1.5416666666666912E-3</v>
      </c>
      <c r="J27">
        <f>AVERAGE(J2,J4,J5,J7,J8,J10,J11,J13,J14,J16,J17,J19,J20,J22,J23,J25)</f>
        <v>4.3556250000000012E-2</v>
      </c>
      <c r="L27">
        <f>AVERAGE(L2:L25)</f>
        <v>9.3520833333333345E-2</v>
      </c>
    </row>
    <row r="28" spans="1:12" x14ac:dyDescent="0.2">
      <c r="C28" t="s">
        <v>22</v>
      </c>
      <c r="F28">
        <f>_xlfn.STDEV.S(F2:F25)</f>
        <v>1.2949970622763396E-2</v>
      </c>
      <c r="H28">
        <f>_xlfn.STDEV.S(H2:H25)</f>
        <v>2.2700156419048624E-3</v>
      </c>
      <c r="J28">
        <f>_xlfn.STDEV.S(J2,J4,J5,J7,J8,J10,J11,J13,J14,J16,J17,J19,J20,J22,J23,J25)</f>
        <v>2.3885001395575985E-2</v>
      </c>
      <c r="L28">
        <f>_xlfn.STDEV.S(L2:L25)</f>
        <v>6.5573483368008514E-2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Shao, Weichuang</dc:creator>
  <cp:lastModifiedBy>Shao, Weichuang</cp:lastModifiedBy>
  <dcterms:created xsi:type="dcterms:W3CDTF">2026-09-10T09:34:25Z</dcterms:created>
  <dcterms:modified xsi:type="dcterms:W3CDTF">2026-09-10T10:10:54Z</dcterms:modified>
</cp:coreProperties>
</file>